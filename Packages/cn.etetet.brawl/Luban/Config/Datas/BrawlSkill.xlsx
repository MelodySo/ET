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Skill" sheetId="1" state="visible" r:id="rId3"/>
    <sheet name="BrawlProjectile" sheetId="2" state="visible" r:id="rId4"/>
    <sheet name="BrawlCollisionRule" sheetId="3" state="visible" r:id="rId5"/>
    <sheet name="碰撞配置说明" sheetId="4" state="visible" r:id="rId6"/>
  </sheets>
  <calcPr iterateCount="100" refMode="A1" iterate="false" iterateDelta="0.001" fullCalcOnLoad="1" fullPrecision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<sst xmlns="http://schemas.openxmlformats.org/spreadsheetml/2006/main" count="202" uniqueCount="202">
  <si>
    <t>##var</t>
  </si>
  <si>
    <t>Id</t>
  </si>
  <si>
    <t>Name</t>
  </si>
  <si>
    <t>Description</t>
  </si>
  <si>
    <t>ProjectileId</t>
  </si>
  <si>
    <t xml:space="preserve">ProjectilesPerVolley </t>
  </si>
  <si>
    <t>EmitterType</t>
  </si>
  <si>
    <t>EmitterParam1</t>
  </si>
  <si>
    <t>EmitterParam2</t>
  </si>
  <si>
    <t>EmitterParam3</t>
  </si>
  <si>
    <t>AmmoCapacity</t>
  </si>
  <si>
    <t>ReloadTime</t>
  </si>
  <si>
    <t>CooldownTime</t>
  </si>
  <si>
    <t>SkillType</t>
  </si>
  <si>
    <t>SkillRangeType</t>
  </si>
  <si>
    <t>SkillRangeParam1</t>
  </si>
  <si>
    <t>SkillRangeParam2</t>
  </si>
  <si>
    <t>SkillCastRangeType</t>
  </si>
  <si>
    <t>SkillCastParam1</t>
  </si>
  <si>
    <t>SkillCastParam2</t>
  </si>
  <si>
    <t>##type</t>
  </si>
  <si>
    <t>int</t>
  </si>
  <si>
    <t>string</t>
  </si>
  <si>
    <t>float</t>
  </si>
  <si>
    <t>##group</t>
  </si>
  <si>
    <t>c</t>
  </si>
  <si>
    <t>##</t>
  </si>
  <si>
    <t>技能 ID</t>
  </si>
  <si>
    <t>名字</t>
  </si>
  <si>
    <t>描述</t>
  </si>
  <si>
    <t xml:space="preserve"> </t>
  </si>
  <si>
    <t>每一轮子弹数量</t>
  </si>
  <si>
    <t xml:space="preserve">技能发射器类型
1 霰弹枪发射器
2 左轮手枪发射器
3 近战小刀发射器（预留）
4 回旋镖发射器（预留）
5 延迟旋风斩</t>
  </si>
  <si>
    <t>技能发射器参数1（通常是发射次数，所以这里是int比较好，不同发射器的解释也不一样，后续可以修改为float）</t>
  </si>
  <si>
    <t>技能发射器参数2（通常是发射间隔；类型5为旋风斩前摇秒数）</t>
  </si>
  <si>
    <t>技能发射器参数3（通常是子弹发射间隔）</t>
  </si>
  <si>
    <t>装弹数量</t>
  </si>
  <si>
    <t>装弹时间</t>
  </si>
  <si>
    <t>冷却时间</t>
  </si>
  <si>
    <t xml:space="preserve">技能类型
1 预留，可能废弃
2 
3 
4 </t>
  </si>
  <si>
    <r>
      <rPr>
        <rFont val="Microsoft YaHei"/>
        <charset val="1"/>
        <color rgb="FF222222"/>
        <sz val="10"/>
      </rPr>
      <t xml:space="preserve">技能范围类型 </t>
    </r>
    <r>
      <rPr>
        <rFont val="Microsoft YaHei"/>
        <charset val="1"/>
        <color rgb="FF222222"/>
        <sz val="11"/>
      </rPr>
      <t xml:space="preserve"> _x000A_</t>
    </r>
    <r>
      <rPr>
        <rFont val="Microsoft YaHei"/>
        <charset val="1"/>
        <color rgb="FF222222"/>
        <sz val="10"/>
      </rPr>
      <t>1 矩形_x000A_2 扇形_x000A_3 圆形</t>
    </r>
  </si>
  <si>
    <t>技能范围参数1</t>
  </si>
  <si>
    <t>技能范围参数2，有参数1的时候，参数2才有效</t>
  </si>
  <si>
    <r>
      <rPr>
        <rFont val="Microsoft YaHei"/>
        <charset val="1"/>
        <color rgb="FF222222"/>
        <sz val="10"/>
      </rPr>
      <t>技能施放范围类型等于0就用</t>
    </r>
    <r>
      <rPr>
        <rFont val="Microsoft YaHei"/>
        <charset val="1"/>
        <b/>
        <color rgb="FF222222"/>
        <sz val="11"/>
      </rPr>
      <t xml:space="preserve">SkillRangeType_x000A_</t>
    </r>
    <r>
      <rPr>
        <rFont val="Microsoft YaHei"/>
        <charset val="1"/>
        <color rgb="FF222222"/>
        <sz val="10"/>
      </rPr>
      <t>1 矩形_x000A_2 抛物线_x000A_3 预留</t>
    </r>
  </si>
  <si>
    <t xml:space="preserve">技能施放参数1
矩形是长度
抛物线是最小长度</t>
  </si>
  <si>
    <t xml:space="preserve">技能施放参数2，有参数1的时候，参数2才有效
矩形是宽度
抛物线是最大长度</t>
  </si>
  <si>
    <t>大口径霰弹枪</t>
  </si>
  <si>
    <t>雪莉的霰弹枪可大范围射出多枚射程较远的弹丸，命中敌人的弹丸越多，造成的伤害越高。</t>
  </si>
  <si>
    <t>超级霰弹</t>
  </si>
  <si>
    <t>雪莉的超级霰弹可摧毁掩体直击对手。被命中的敌人即时未被击倒也会被击退。</t>
  </si>
  <si>
    <t>公牛普通攻击</t>
  </si>
  <si>
    <t>连续发射2次霰弹枪</t>
  </si>
  <si>
    <t>卡尔普通攻击</t>
  </si>
  <si>
    <t>卡尔丢出回旋镖</t>
  </si>
  <si>
    <t>武士普通攻击</t>
  </si>
  <si>
    <t>用小刀捅2下.且发出强劲的刀风。</t>
  </si>
  <si>
    <t>左轮手枪</t>
  </si>
  <si>
    <t>柯尔特使用它的左轮手枪向同一方向连开6枪，可攻击到远距离的的人。</t>
  </si>
  <si>
    <t>子弹风暴</t>
  </si>
  <si>
    <t>柯尔特迅速开火，射出大量子弹，这些子弹的射程更远且能摧毁掩体。</t>
  </si>
  <si>
    <t/>
  </si>
  <si>
    <t>旋风斩</t>
  </si>
  <si>
    <t>蓄力0.3秒后，以当前位置为圆心造成一次圆形范围伤害。可隔墙命中，不破坏墙和草。</t>
  </si>
  <si>
    <t>ModelPath</t>
  </si>
  <si>
    <t>ImpactEffectPath</t>
  </si>
  <si>
    <t>ExpireEffectPath</t>
  </si>
  <si>
    <t>Radius</t>
  </si>
  <si>
    <t>MaxHitCount</t>
  </si>
  <si>
    <t>Lifetime</t>
  </si>
  <si>
    <t>Speed</t>
  </si>
  <si>
    <t>Value</t>
  </si>
  <si>
    <t>ValueGrowthPerLevel</t>
  </si>
  <si>
    <t>HitEvent1</t>
  </si>
  <si>
    <t>HitEvent1Param1</t>
  </si>
  <si>
    <t>HitEvent1Param2</t>
  </si>
  <si>
    <t>HitEvent2</t>
  </si>
  <si>
    <t>HitEvent2Param1</t>
  </si>
  <si>
    <t>HitEvent2Param2</t>
  </si>
  <si>
    <t>SuperChargeOnHit</t>
  </si>
  <si>
    <t>CollisionRuleGroupId</t>
  </si>
  <si>
    <t xml:space="preserve">  抛射体   ID</t>
  </si>
  <si>
    <t>模型路径</t>
  </si>
  <si>
    <t>碰撞到有效目标或阻挡物时的特效</t>
  </si>
  <si>
    <t>到达射程终点、寿命结束时的特效</t>
  </si>
  <si>
    <t>碰撞半径（现在默认子弹都是球体方便计算）</t>
  </si>
  <si>
    <t>耐久度，即生效几次再销毁，一般需要碰到有效目标才算</t>
  </si>
  <si>
    <t>持续时间</t>
  </si>
  <si>
    <t>速度</t>
  </si>
  <si>
    <t>基础数值</t>
  </si>
  <si>
    <t>额外数值</t>
  </si>
  <si>
    <t>击中事件1</t>
  </si>
  <si>
    <t>击中事件1参数1</t>
  </si>
  <si>
    <t>击中事件1参数2</t>
  </si>
  <si>
    <t>击中事件2</t>
  </si>
  <si>
    <t>击中事件2参数1</t>
  </si>
  <si>
    <t>击中事件2参数2</t>
  </si>
  <si>
    <t>每枚弹丸对有效目标实际扣血后获得的大招格数；0不充能，与技能类型无关</t>
  </si>
  <si>
    <t>碰撞规则组ID，引用BrawlCollisionRule.GroupId。1=墙阻挡/敌方作战单位生效并阻挡；2=不可摧毁墙阻挡/可摧毁场景物和敌方作战单位生效并穿透。仅源表设计，待代码接入。</t>
  </si>
  <si>
    <t>雪莉的霰弹枪的子弹</t>
  </si>
  <si>
    <t>Projectile 10</t>
  </si>
  <si>
    <t>Hit 10</t>
  </si>
  <si>
    <t>Flash 10</t>
  </si>
  <si>
    <t>雪莉的霰弹枪的大招子弹</t>
  </si>
  <si>
    <t>Projectile 6</t>
  </si>
  <si>
    <t>Hit 6</t>
  </si>
  <si>
    <t>Flash 6</t>
  </si>
  <si>
    <t>连续发射2次</t>
  </si>
  <si>
    <t>卡尔丢出的回旋镖（回弹时不受阻挡影响）</t>
  </si>
  <si>
    <t>武士的小刀效果</t>
  </si>
  <si>
    <t>柯尔特的手枪子弹</t>
  </si>
  <si>
    <t>Projectile 1</t>
  </si>
  <si>
    <t>Hit 1</t>
  </si>
  <si>
    <t>Flash 1</t>
  </si>
  <si>
    <t>柯尔特的大招子弹</t>
  </si>
  <si>
    <t>Projectile 14</t>
  </si>
  <si>
    <t>Hit 14</t>
  </si>
  <si>
    <t>Flash 14</t>
  </si>
  <si>
    <t>桩的瞬时圆形伤害，仅用于命中结算</t>
  </si>
  <si>
    <t>GroupId</t>
  </si>
  <si>
    <t>RequiredLayerMask</t>
  </si>
  <si>
    <t>ExcludedLayerMask</t>
  </si>
  <si>
    <t>RelationMask</t>
  </si>
  <si>
    <t>BlockProjectile</t>
  </si>
  <si>
    <t>ApplyHitEvents</t>
  </si>
  <si>
    <t>bool</t>
  </si>
  <si>
    <t>规则行ID</t>
  </si>
  <si>
    <t>规则组ID；同组多行取或</t>
  </si>
  <si>
    <t>规则说明</t>
  </si>
  <si>
    <t>必须同时具备全部位；0不限</t>
  </si>
  <si>
    <t>不能具有任意一位；0不排除</t>
  </si>
  <si>
    <t>1敌对；2友善/同阵营；3不限；0不匹配</t>
  </si>
  <si>
    <t>匹配后终止弹丸飞行</t>
  </si>
  <si>
    <t>匹配后执行弹丸HitEvent组；同次接触仅执行一次</t>
  </si>
  <si>
    <t>普攻：所有墙体只阻挡</t>
  </si>
  <si>
    <t>普攻：敌方作战单位生效并阻挡</t>
  </si>
  <si>
    <t>穿透大招：不可摧毁墙只阻挡</t>
  </si>
  <si>
    <t>穿透大招：可摧毁墙生效并穿透</t>
  </si>
  <si>
    <t>穿透大招：敌方作战单位生效并穿透</t>
  </si>
  <si>
    <t>穿透大招：可摧毁草生效并穿透</t>
  </si>
  <si>
    <t>旋风斩：敌方作战单位生效，排除墙体，不阻挡</t>
  </si>
  <si>
    <t>项目</t>
  </si>
  <si>
    <t>值或规则</t>
  </si>
  <si>
    <t>说明</t>
  </si>
  <si>
    <t>实施状态</t>
  </si>
  <si>
    <t>仅源表设计，未导出、未接入代码</t>
  </si>
  <si>
    <t>当前游戏仍使用旧生成配置；后续需同步代码和Luban表注册再导出。</t>
  </si>
  <si>
    <t>Hero</t>
  </si>
  <si>
    <t>英雄标签；英雄组合Hero|Battle=5。英雄表本次不改。</t>
  </si>
  <si>
    <t>Monster</t>
  </si>
  <si>
    <t>怪物标签；劫匪组合Monster|Battle=6。</t>
  </si>
  <si>
    <t>Battle</t>
  </si>
  <si>
    <t>作战单位；敌友由Faction单独计算。</t>
  </si>
  <si>
    <t>Tile</t>
  </si>
  <si>
    <t>墙或障碍物；不自动代表可摧毁。</t>
  </si>
  <si>
    <t>Grass</t>
  </si>
  <si>
    <t>草标签。</t>
  </si>
  <si>
    <t>Destroyable</t>
  </si>
  <si>
    <t>可摧毁场景物标签；英雄/怪物扣血死亡不要求这个标签。</t>
  </si>
  <si>
    <t>组合值</t>
  </si>
  <si>
    <t>40=Tile|Destroyable；48=Grass|Destroyable</t>
  </si>
  <si>
    <t>整数按位或组合；不同标签位相加得到同样数值。</t>
  </si>
  <si>
    <t>匹配条件</t>
  </si>
  <si>
    <t>同一行所有条件同时满足；同组多行任一匹配</t>
  </si>
  <si>
    <t>Required要求全部位；Excluded出现任意位即拒绝。</t>
  </si>
  <si>
    <t>多行同时匹配</t>
  </si>
  <si>
    <t>BlockProjectile与ApplyHitEvents分别取或</t>
  </si>
  <si>
    <t>一次接触只执行一次HitEvent组和一次碰撞表现；不可按规则行重复执行。</t>
  </si>
  <si>
    <t>阵营关系</t>
  </si>
  <si>
    <t>RelationMask=1敌对；2友善；3不限；0不匹配</t>
  </si>
  <si>
    <t>双方Faction相同不敌对；含NeutralFriendly不敌对；其余不同阵营敌对。默认排除施法者本人。</t>
  </si>
  <si>
    <t>普攻引用</t>
  </si>
  <si>
    <t>10101、40101弹丸 -&gt; 规则组1</t>
  </si>
  <si>
    <t>规则101匹配所有Tile；规则102只匹配敌方Battle；未匹配目标直接穿过。</t>
  </si>
  <si>
    <t>大招引用</t>
  </si>
  <si>
    <t>10102、40102弹丸 -&gt; 规则组2</t>
  </si>
  <si>
    <t>规则201挡不可摧毁墙；202/203/204对可摧毁墙、敌方作战单位、可摧毁草生效并穿过。</t>
  </si>
  <si>
    <t>规则组编号</t>
  </si>
  <si>
    <t>1、2仅为可复用配置ID，不是技能类型枚举</t>
  </si>
  <si>
    <t>任意其他技能也可引用；未来按需要增加更多规则组。</t>
  </si>
  <si>
    <t>普攻1；这两个大招0</t>
  </si>
  <si>
    <t>有效命中次数上限；0不因次数销毁，但仍受BlockProjectile终止。</t>
  </si>
  <si>
    <t>BlocksMovement</t>
  </si>
  <si>
    <t>独立决定活着时是否阻挡英雄移动</t>
  </si>
  <si>
    <t>死亡单位不再阻挡移动或弹丸；不参与弹丸规则匹配。</t>
  </si>
  <si>
    <t>旧数据保留</t>
  </si>
  <si>
    <t>旧BlockMask/TargetMask仅四行清空，其他行原样保留</t>
  </si>
  <si>
    <t>新代码接入前不能把本次源表直接当成已迁移完成的运行配置。</t>
  </si>
  <si>
    <t>技能分页</t>
  </si>
  <si>
    <t>四个技能原有ProjectileId/发射参数已经正确，保持原值</t>
  </si>
  <si>
    <t>未修改其他技能，也未把碰撞规则重复配置到技能层。</t>
  </si>
  <si>
    <t>雪莉大招待填</t>
  </si>
  <si>
    <t>10102弹丸Speed为空，Value及成长为0</t>
  </si>
  <si>
    <t>本次未补数值；当前发射器会拒绝速度0，零伤害不能摧毁墙；击退尚未实现。</t>
  </si>
  <si>
    <t>地形与草</t>
  </si>
  <si>
    <t>本次不新增地形墙/草NPC</t>
  </si>
  <si>
    <t>未来地形查询提供Tile或Grass|Destroyable逻辑标签；草生效处理尚待代码实现。</t>
  </si>
  <si>
    <t>出生点</t>
  </si>
  <si>
    <t>NPC表Faction仍为3，UnitLayerMask=0，不阻挡移动</t>
  </si>
  <si>
    <t>运行时按绑定的红蓝队覆盖阵营；原复活点组件2保留。</t>
  </si>
  <si>
    <t>水晶</t>
  </si>
  <si>
    <t>UnitLayerMask=0，不阻挡移动</t>
  </si>
  <si>
    <t>暂不参与这两组战斗碰撞，后续拾取规则另做。</t>
  </si>
</sst>
</file>

<file path=xl/styles.xml><?xml version="1.0" encoding="utf-8"?>
<styleSheet xmlns="http://schemas.openxmlformats.org/spreadsheetml/2006/main">
  <numFmts count="8">
    <numFmt numFmtId="0" formatCode="General"/>
    <numFmt numFmtId="0" formatCode="General"/>
    <numFmt numFmtId="0" formatCode="General"/>
    <numFmt numFmtId="0" formatCode="General"/>
    <numFmt numFmtId="0" formatCode="General"/>
    <numFmt numFmtId="0" formatCode="General"/>
    <numFmt numFmtId="0" formatCode="General"/>
    <numFmt numFmtId="164" formatCode="General"/>
  </numFmts>
  <fonts count="9">
    <font>
      <sz val="10"/>
      <name val="Noto Sans SC"/>
      <family val="2"/>
      <charset val="1"/>
    </font>
    <font>
      <sz val="10"/>
      <name val="Arial"/>
      <family val="0"/>
    </font>
    <font>
      <sz val="11"/>
      <name val="Calibri"/>
      <family val="0"/>
      <charset val="1"/>
    </font>
    <font>
      <b/>
      <sz val="11"/>
      <color rgb="FF222222"/>
      <name val="Microsoft YaHei"/>
      <family val="0"/>
      <charset val="1"/>
    </font>
    <font>
      <b/>
      <sz val="10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  <font>
      <sz val="10"/>
      <color rgb="FF222222"/>
      <name val="Microsoft YaHei"/>
      <family val="0"/>
      <charset val="1"/>
    </font>
    <font>
      <b/>
      <sz val="11"/>
      <name val="Microsoft YaHei"/>
      <family val="2"/>
      <charset val="1"/>
    </font>
    <font>
      <sz val="11"/>
      <name val="Microsoft Ya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8EDF3"/>
        <bgColor rgb="FFD9EAF7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  <fill>
      <patternFill patternType="solid">
        <fgColor rgb="FFD9EAF7"/>
        <bgColor rgb="FFE8EDF3"/>
      </patternFill>
    </fill>
  </fills>
  <borders count="1">
    <border diagonalUp="1" diagonalDown="1">
      <left/>
      <right/>
      <top/>
      <bottom/>
      <diagonal/>
    </border>
  </borders>
  <cellStyleXfs count="7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  <xf numFmtId="164" applyNumberFormat="1" fontId="2" applyFont="1" fillId="0" borderId="0" applyBorder="1" applyProtection="1" applyAlignment="1"/>
  </cellStyleXfs>
  <cellXfs count="16">
    <xf numFmtId="164" applyNumberFormat="1" fontId="0" applyFont="1" fillId="0" borderId="0" applyBorder="1" xfId="0" applyProtection="1" applyAlignment="1"/>
    <xf numFmtId="164" applyNumberFormat="1" fontId="0" applyFont="0" fillId="0" borderId="0" applyBorder="0" xfId="0" applyProtection="1" applyAlignment="1"/>
    <xf numFmtId="164" applyNumberFormat="1" fontId="0" applyFont="0" fillId="0" borderId="0" applyBorder="0" xfId="0" applyProtection="1" applyAlignment="1">
      <alignment wrapText="1"/>
    </xf>
    <xf numFmtId="164" applyNumberFormat="1" fontId="3" applyFont="1" fillId="2" applyFill="1" borderId="0" applyBorder="1" xfId="6" applyProtection="1" applyAlignment="1"/>
    <xf numFmtId="164" applyNumberFormat="1" fontId="3" applyFont="1" fillId="2" applyFill="1" borderId="0" applyBorder="1" xfId="6" applyProtection="1" applyAlignment="1">
      <alignment wrapText="1"/>
    </xf>
    <xf numFmtId="164" applyNumberFormat="1" fontId="4" applyFont="1" fillId="2" applyFill="1" borderId="0" applyBorder="1" xfId="6" applyProtection="1" applyAlignment="1"/>
    <xf numFmtId="164" applyNumberFormat="1" fontId="5" applyFont="1" fillId="3" applyFill="1" borderId="0" applyBorder="1" xfId="6" applyProtection="1" applyAlignment="1"/>
    <xf numFmtId="164" applyNumberFormat="1" fontId="5" applyFont="1" fillId="3" applyFill="1" borderId="0" applyBorder="1" xfId="6" applyProtection="1" applyAlignment="1">
      <alignment wrapText="1"/>
    </xf>
    <xf numFmtId="164" applyNumberFormat="1" fontId="5" applyFont="1" fillId="4" applyFill="1" borderId="0" applyBorder="1" xfId="6" applyProtection="1" applyAlignment="1"/>
    <xf numFmtId="164" applyNumberFormat="1" fontId="5" applyFont="1" fillId="4" applyFill="1" borderId="0" applyBorder="1" xfId="6" applyProtection="1" applyAlignment="1">
      <alignment wrapText="1"/>
    </xf>
    <xf numFmtId="164" applyNumberFormat="1" fontId="6" applyFont="1" fillId="4" applyFill="1" borderId="0" applyBorder="1" xfId="6" applyProtection="1" applyAlignment="1">
      <alignment wrapText="1"/>
    </xf>
    <xf numFmtId="164" applyNumberFormat="1" fontId="0" applyFont="1" fillId="0" borderId="0" applyBorder="0" xfId="0" applyProtection="1" applyAlignment="1">
      <alignment wrapText="1"/>
    </xf>
    <xf numFmtId="164" applyNumberFormat="1" fontId="4" applyFont="1" fillId="2" applyFill="1" borderId="0" applyBorder="1" xfId="6" applyProtection="1" applyAlignment="1">
      <alignment wrapText="1"/>
    </xf>
    <xf numFmtId="164" applyNumberFormat="1" fontId="4" applyFont="1" fillId="4" applyFill="1" borderId="0" applyBorder="1" xfId="6" applyProtection="1" applyAlignment="1">
      <alignment wrapText="1"/>
    </xf>
    <xf numFmtId="164" applyNumberFormat="1" fontId="7" applyFont="1" fillId="5" applyFill="1" borderId="0" applyBorder="1" xfId="0" applyProtection="1" applyAlignment="1">
      <alignment vertical="center"/>
    </xf>
    <xf numFmtId="164" applyNumberFormat="1" fontId="8" applyFont="1" fillId="0" borderId="0" applyBorder="1" xfId="0" applyProtection="1" applyAlignment="1">
      <alignment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" xfId="6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T1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4" topLeftCell="A5" activePane="bottomLeft" state="frozen"/>
      <selection pane="topLeft" activeCell="E1" activeCellId="0" sqref="E1"/>
      <selection pane="bottomLeft" activeCell="M6" activeCellId="0" sqref="M6"/>
    </sheetView>
  </sheetViews>
  <sheetFormatPr defaultColWidth="8.6796875" defaultRowHeight="15" customHeight="false" zeroHeight="false" outlineLevelRow="0" outlineLevelCol="0"/>
  <cols>
    <col min="1" max="2" width="16" customWidth="1" style="1"/>
    <col min="3" max="3" width="11.54" customWidth="1" style="1"/>
    <col min="4" max="5" width="26" customWidth="1" style="2"/>
    <col min="6" max="6" width="21" customWidth="1" style="1"/>
    <col min="7" max="7" width="18" customWidth="1" style="1"/>
    <col min="8" max="10" width="23.5" customWidth="1" style="1"/>
    <col min="11" max="11" width="19.75" customWidth="1" style="1"/>
    <col min="12" max="13" width="14.33" customWidth="1" style="1"/>
    <col min="14" max="17" width="18" customWidth="1" style="1"/>
    <col min="18" max="18" width="21" customWidth="1" style="1"/>
    <col min="19" max="21" width="18" customWidth="1" style="1"/>
  </cols>
  <sheetData>
    <row r="1" ht="26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ht="26" customHeight="1">
      <c r="A2" s="6" t="s">
        <v>20</v>
      </c>
      <c r="B2" s="6" t="s">
        <v>21</v>
      </c>
      <c r="C2" s="6" t="s">
        <v>22</v>
      </c>
      <c r="D2" s="7" t="s">
        <v>22</v>
      </c>
      <c r="E2" s="6" t="s">
        <v>21</v>
      </c>
      <c r="F2" s="6" t="s">
        <v>21</v>
      </c>
      <c r="G2" s="6" t="s">
        <v>21</v>
      </c>
      <c r="H2" s="6" t="s">
        <v>21</v>
      </c>
      <c r="I2" s="6" t="s">
        <v>23</v>
      </c>
      <c r="J2" s="6" t="s">
        <v>23</v>
      </c>
      <c r="K2" s="6" t="s">
        <v>21</v>
      </c>
      <c r="L2" s="6" t="s">
        <v>23</v>
      </c>
      <c r="M2" s="6" t="s">
        <v>23</v>
      </c>
      <c r="N2" s="6" t="s">
        <v>21</v>
      </c>
      <c r="O2" s="6" t="s">
        <v>21</v>
      </c>
      <c r="P2" s="6" t="s">
        <v>23</v>
      </c>
      <c r="Q2" s="6" t="s">
        <v>23</v>
      </c>
      <c r="R2" s="6" t="s">
        <v>21</v>
      </c>
      <c r="S2" s="6" t="s">
        <v>23</v>
      </c>
      <c r="T2" s="6" t="s">
        <v>23</v>
      </c>
    </row>
    <row r="3" ht="26" customHeight="1">
      <c r="A3" s="6" t="s">
        <v>24</v>
      </c>
      <c r="B3" s="6"/>
      <c r="C3" s="6" t="s">
        <v>25</v>
      </c>
      <c r="D3" s="7" t="s">
        <v>25</v>
      </c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21.6" customHeight="1">
      <c r="A4" s="8" t="s">
        <v>26</v>
      </c>
      <c r="B4" s="8" t="s">
        <v>27</v>
      </c>
      <c r="C4" s="8" t="s">
        <v>28</v>
      </c>
      <c r="D4" s="9" t="s">
        <v>29</v>
      </c>
      <c r="E4" s="10" t="s">
        <v>30</v>
      </c>
      <c r="F4" s="9" t="s">
        <v>31</v>
      </c>
      <c r="G4" s="10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  <c r="M4" s="9" t="s">
        <v>38</v>
      </c>
      <c r="N4" s="9" t="s">
        <v>39</v>
      </c>
      <c r="O4" s="10" t="s">
        <v>40</v>
      </c>
      <c r="P4" s="10" t="s">
        <v>41</v>
      </c>
      <c r="Q4" s="10" t="s">
        <v>42</v>
      </c>
      <c r="R4" s="10" t="s">
        <v>43</v>
      </c>
      <c r="S4" s="10" t="s">
        <v>44</v>
      </c>
      <c r="T4" s="10" t="s">
        <v>45</v>
      </c>
    </row>
    <row r="5" ht="37.3">
      <c r="B5" s="1">
        <v>10101</v>
      </c>
      <c r="C5" s="1" t="s">
        <v>46</v>
      </c>
      <c r="D5" s="11" t="s">
        <v>47</v>
      </c>
      <c r="E5" s="2">
        <v>10101</v>
      </c>
      <c r="F5" s="1">
        <v>5</v>
      </c>
      <c r="G5" s="1">
        <v>1</v>
      </c>
      <c r="H5" s="1">
        <v>1</v>
      </c>
      <c r="I5" s="1">
        <v>0</v>
      </c>
      <c r="J5" s="1">
        <v>0</v>
      </c>
      <c r="K5" s="1">
        <v>3</v>
      </c>
      <c r="L5" s="1">
        <v>1.5</v>
      </c>
      <c r="M5" s="1">
        <v>1</v>
      </c>
      <c r="N5" s="1">
        <v>1</v>
      </c>
      <c r="O5" s="1">
        <v>2</v>
      </c>
      <c r="P5" s="1">
        <v>7.67</v>
      </c>
      <c r="Q5" s="1">
        <v>30</v>
      </c>
      <c r="R5" s="1">
        <v>0</v>
      </c>
      <c r="S5" s="1">
        <v>0</v>
      </c>
      <c r="T5" s="1">
        <v>0</v>
      </c>
    </row>
    <row r="6" ht="37.3">
      <c r="B6" s="1">
        <v>10102</v>
      </c>
      <c r="C6" s="1" t="s">
        <v>48</v>
      </c>
      <c r="D6" s="11" t="s">
        <v>49</v>
      </c>
      <c r="E6" s="2">
        <v>10102</v>
      </c>
      <c r="F6" s="1">
        <v>5</v>
      </c>
      <c r="G6" s="1">
        <v>1</v>
      </c>
      <c r="H6" s="1">
        <v>1</v>
      </c>
      <c r="I6" s="1">
        <v>0</v>
      </c>
      <c r="J6" s="1">
        <v>0</v>
      </c>
      <c r="K6" s="1">
        <v>1</v>
      </c>
      <c r="L6" s="1">
        <v>1.5</v>
      </c>
      <c r="M6" s="1">
        <v>0.5</v>
      </c>
      <c r="N6" s="1">
        <v>1</v>
      </c>
      <c r="O6" s="1">
        <v>2</v>
      </c>
      <c r="P6" s="1">
        <v>7.67</v>
      </c>
      <c r="Q6" s="1">
        <v>45</v>
      </c>
      <c r="R6" s="1">
        <v>0</v>
      </c>
      <c r="S6" s="1">
        <v>0</v>
      </c>
      <c r="T6" s="1">
        <v>0</v>
      </c>
    </row>
    <row r="7" ht="15">
      <c r="B7" s="1">
        <v>10103</v>
      </c>
      <c r="D7" s="11"/>
      <c r="E7" s="2">
        <v>10103</v>
      </c>
      <c r="F7" s="1">
        <v>5</v>
      </c>
      <c r="L7" s="1">
        <v>1.5</v>
      </c>
      <c r="M7" s="1">
        <v>0.5</v>
      </c>
      <c r="N7" s="1">
        <v>1</v>
      </c>
    </row>
    <row r="8" ht="15">
      <c r="B8" s="1">
        <v>10104</v>
      </c>
      <c r="D8" s="11"/>
      <c r="E8" s="2">
        <v>10101</v>
      </c>
      <c r="F8" s="1">
        <v>5</v>
      </c>
      <c r="L8" s="1">
        <v>1.5</v>
      </c>
      <c r="M8" s="1">
        <v>0.5</v>
      </c>
      <c r="N8" s="1">
        <v>1</v>
      </c>
    </row>
    <row r="9" ht="15">
      <c r="B9" s="1">
        <v>20101</v>
      </c>
      <c r="C9" s="1" t="s">
        <v>50</v>
      </c>
      <c r="D9" s="11" t="s">
        <v>51</v>
      </c>
      <c r="E9" s="2">
        <v>10101</v>
      </c>
      <c r="F9" s="1">
        <v>5</v>
      </c>
      <c r="G9" s="1">
        <v>1</v>
      </c>
      <c r="H9" s="1">
        <v>2</v>
      </c>
      <c r="I9" s="1">
        <v>0.3</v>
      </c>
      <c r="J9" s="1">
        <v>0</v>
      </c>
      <c r="K9" s="1">
        <v>3</v>
      </c>
      <c r="L9" s="1">
        <v>1.5</v>
      </c>
      <c r="M9" s="1">
        <v>0.5</v>
      </c>
      <c r="N9" s="1">
        <v>1</v>
      </c>
    </row>
    <row r="10" ht="15">
      <c r="B10" s="1">
        <v>100101</v>
      </c>
      <c r="C10" s="1" t="s">
        <v>52</v>
      </c>
      <c r="D10" s="11" t="s">
        <v>53</v>
      </c>
      <c r="E10" s="2">
        <v>100101</v>
      </c>
      <c r="F10" s="1">
        <v>1</v>
      </c>
      <c r="G10" s="1">
        <v>4</v>
      </c>
      <c r="K10" s="1">
        <v>1</v>
      </c>
      <c r="L10" s="1">
        <v>0</v>
      </c>
      <c r="M10" s="1">
        <v>0</v>
      </c>
      <c r="N10" s="1">
        <v>1</v>
      </c>
      <c r="O10" s="1">
        <v>1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</row>
    <row r="11" ht="25.35">
      <c r="B11" s="1">
        <v>30101</v>
      </c>
      <c r="C11" s="1" t="s">
        <v>54</v>
      </c>
      <c r="D11" s="11" t="s">
        <v>55</v>
      </c>
      <c r="E11" s="2">
        <v>30101</v>
      </c>
      <c r="F11" s="1">
        <v>2</v>
      </c>
      <c r="G11" s="1">
        <v>3</v>
      </c>
      <c r="H11" s="1">
        <v>1</v>
      </c>
      <c r="I11" s="1">
        <v>0.1</v>
      </c>
      <c r="J11" s="1">
        <v>0</v>
      </c>
      <c r="K11" s="1">
        <v>3</v>
      </c>
      <c r="L11" s="1">
        <v>1</v>
      </c>
      <c r="M11" s="1">
        <v>1</v>
      </c>
      <c r="N11" s="1">
        <v>2</v>
      </c>
      <c r="O11" s="1">
        <v>1</v>
      </c>
      <c r="P11" s="1">
        <v>3</v>
      </c>
      <c r="Q11" s="1">
        <v>1.5</v>
      </c>
      <c r="R11" s="1">
        <v>0</v>
      </c>
      <c r="S11" s="1">
        <v>0</v>
      </c>
      <c r="T11" s="1">
        <v>0</v>
      </c>
    </row>
    <row r="12" ht="37.3">
      <c r="B12" s="1">
        <v>40101</v>
      </c>
      <c r="C12" s="1" t="s">
        <v>56</v>
      </c>
      <c r="D12" s="11" t="s">
        <v>57</v>
      </c>
      <c r="E12" s="2">
        <v>40101</v>
      </c>
      <c r="F12" s="1">
        <v>6</v>
      </c>
      <c r="G12" s="1">
        <v>2</v>
      </c>
      <c r="H12" s="1">
        <v>1</v>
      </c>
      <c r="I12" s="1">
        <v>0</v>
      </c>
      <c r="J12" s="1">
        <v>0.16</v>
      </c>
      <c r="K12" s="1">
        <v>3</v>
      </c>
      <c r="L12" s="1">
        <v>1.6</v>
      </c>
      <c r="M12" s="1">
        <v>0.8</v>
      </c>
      <c r="N12" s="1">
        <v>1</v>
      </c>
      <c r="O12" s="1">
        <v>1</v>
      </c>
      <c r="P12" s="1">
        <v>9</v>
      </c>
      <c r="Q12" s="1">
        <v>0.7</v>
      </c>
      <c r="R12" s="1">
        <v>0</v>
      </c>
      <c r="S12" s="1">
        <v>0</v>
      </c>
      <c r="T12" s="1">
        <v>0</v>
      </c>
    </row>
    <row r="13" ht="37.3">
      <c r="B13" s="1">
        <v>40102</v>
      </c>
      <c r="C13" s="1" t="s">
        <v>58</v>
      </c>
      <c r="D13" s="11" t="s">
        <v>59</v>
      </c>
      <c r="E13" s="2">
        <v>40102</v>
      </c>
      <c r="F13" s="1">
        <v>12</v>
      </c>
      <c r="G13" s="1">
        <v>2</v>
      </c>
      <c r="H13" s="1">
        <v>1</v>
      </c>
      <c r="I13" s="1">
        <v>0</v>
      </c>
      <c r="J13" s="1">
        <v>0.08333</v>
      </c>
      <c r="K13" s="1">
        <v>1</v>
      </c>
      <c r="L13" s="1">
        <v>0</v>
      </c>
      <c r="M13" s="1">
        <v>1</v>
      </c>
      <c r="N13" s="1">
        <v>1</v>
      </c>
      <c r="O13" s="1">
        <v>1</v>
      </c>
      <c r="P13" s="1">
        <v>12</v>
      </c>
      <c r="Q13" s="1">
        <v>1</v>
      </c>
      <c r="R13" s="1">
        <v>0</v>
      </c>
      <c r="S13" s="1">
        <v>0</v>
      </c>
      <c r="T13" s="1">
        <v>0</v>
      </c>
    </row>
    <row r="14">
      <c r="A14" s="1" t="s">
        <v>60</v>
      </c>
      <c r="B14" s="1">
        <v>50101</v>
      </c>
      <c r="C14" s="1" t="s">
        <v>61</v>
      </c>
      <c r="D14" s="2" t="s">
        <v>62</v>
      </c>
      <c r="E14" s="2">
        <v>50101</v>
      </c>
      <c r="F14" s="1">
        <v>1</v>
      </c>
      <c r="G14" s="1">
        <v>5</v>
      </c>
      <c r="H14" s="1">
        <v>1</v>
      </c>
      <c r="I14" s="1">
        <v>0.3</v>
      </c>
      <c r="J14" s="1">
        <v>0</v>
      </c>
      <c r="K14" s="1">
        <v>3</v>
      </c>
      <c r="L14" s="1">
        <v>1.5</v>
      </c>
      <c r="M14" s="1">
        <v>1</v>
      </c>
      <c r="N14" s="1">
        <v>1</v>
      </c>
      <c r="O14" s="1">
        <v>3</v>
      </c>
      <c r="P14" s="1">
        <v>3</v>
      </c>
      <c r="Q14" s="1">
        <v>0</v>
      </c>
      <c r="R14" s="1">
        <v>0</v>
      </c>
      <c r="S14" s="1">
        <v>0</v>
      </c>
      <c r="T14" s="1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T1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L12" activeCellId="0" sqref="L12"/>
    </sheetView>
  </sheetViews>
  <sheetFormatPr defaultColWidth="11.53515625" defaultRowHeight="12.8" customHeight="false" zeroHeight="false" outlineLevelRow="0" outlineLevelCol="0"/>
  <cols>
    <col min="1" max="2" width="16" customWidth="1" style="1"/>
    <col min="3" max="6" width="26" customWidth="1" style="2"/>
    <col min="7" max="7" width="16.27" customWidth="1" style="2"/>
    <col min="8" max="8" width="28.79" customWidth="1" style="1"/>
    <col min="9" max="11" width="23.23" customWidth="1" style="1"/>
    <col min="12" max="12" width="22.12" customWidth="1" style="1"/>
    <col min="13" max="13" width="16.43" customWidth="1" style="1"/>
    <col min="14" max="14" width="23.23" customWidth="1" style="1"/>
    <col min="15" max="15" width="22.12" customWidth="1" style="1"/>
    <col min="16" max="16" width="16.43" customWidth="1" style="1"/>
    <col min="17" max="17" width="23.23" customWidth="1" style="1"/>
    <col min="18" max="18" width="22.12" customWidth="1" style="1"/>
    <col min="20" max="20" width="45" customWidth="1" style="1"/>
  </cols>
  <sheetData>
    <row r="1" ht="16.4">
      <c r="A1" s="3" t="s">
        <v>0</v>
      </c>
      <c r="B1" s="3" t="s">
        <v>1</v>
      </c>
      <c r="C1" s="4" t="s">
        <v>3</v>
      </c>
      <c r="D1" s="4" t="s">
        <v>63</v>
      </c>
      <c r="E1" s="12" t="s">
        <v>64</v>
      </c>
      <c r="F1" s="12" t="s">
        <v>65</v>
      </c>
      <c r="G1" s="4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5" t="s">
        <v>74</v>
      </c>
      <c r="P1" s="5" t="s">
        <v>75</v>
      </c>
      <c r="Q1" s="5" t="s">
        <v>76</v>
      </c>
      <c r="R1" s="5" t="s">
        <v>77</v>
      </c>
      <c r="S1" s="5" t="s">
        <v>78</v>
      </c>
      <c r="T1" s="5" t="s">
        <v>79</v>
      </c>
    </row>
    <row r="2" ht="16.4">
      <c r="A2" s="6" t="s">
        <v>20</v>
      </c>
      <c r="B2" s="6" t="s">
        <v>21</v>
      </c>
      <c r="C2" s="7" t="s">
        <v>22</v>
      </c>
      <c r="D2" s="7" t="s">
        <v>22</v>
      </c>
      <c r="E2" s="7" t="s">
        <v>22</v>
      </c>
      <c r="F2" s="7" t="s">
        <v>22</v>
      </c>
      <c r="G2" s="7" t="s">
        <v>23</v>
      </c>
      <c r="H2" s="6" t="s">
        <v>21</v>
      </c>
      <c r="I2" s="6" t="s">
        <v>23</v>
      </c>
      <c r="J2" s="6" t="s">
        <v>23</v>
      </c>
      <c r="K2" s="6" t="s">
        <v>21</v>
      </c>
      <c r="L2" s="6" t="s">
        <v>21</v>
      </c>
      <c r="M2" s="6" t="s">
        <v>21</v>
      </c>
      <c r="N2" s="6" t="s">
        <v>21</v>
      </c>
      <c r="O2" s="6" t="s">
        <v>21</v>
      </c>
      <c r="P2" s="6" t="s">
        <v>21</v>
      </c>
      <c r="Q2" s="6" t="s">
        <v>21</v>
      </c>
      <c r="R2" s="6" t="s">
        <v>21</v>
      </c>
      <c r="S2" s="6" t="s">
        <v>23</v>
      </c>
      <c r="T2" s="6" t="s">
        <v>21</v>
      </c>
    </row>
    <row r="3" ht="16.4">
      <c r="A3" s="6" t="s">
        <v>24</v>
      </c>
      <c r="B3" s="6"/>
      <c r="C3" s="7" t="s">
        <v>25</v>
      </c>
      <c r="D3" s="7" t="s">
        <v>25</v>
      </c>
      <c r="E3" s="7" t="s">
        <v>25</v>
      </c>
      <c r="F3" s="7" t="s">
        <v>25</v>
      </c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05.95">
      <c r="A4" s="8" t="s">
        <v>26</v>
      </c>
      <c r="B4" s="10" t="s">
        <v>80</v>
      </c>
      <c r="C4" s="9" t="s">
        <v>29</v>
      </c>
      <c r="D4" s="9" t="s">
        <v>81</v>
      </c>
      <c r="E4" s="10" t="s">
        <v>82</v>
      </c>
      <c r="F4" s="10" t="s">
        <v>83</v>
      </c>
      <c r="G4" s="9" t="s">
        <v>84</v>
      </c>
      <c r="H4" s="13" t="s">
        <v>85</v>
      </c>
      <c r="I4" s="13" t="s">
        <v>86</v>
      </c>
      <c r="J4" s="13" t="s">
        <v>87</v>
      </c>
      <c r="K4" s="13" t="s">
        <v>88</v>
      </c>
      <c r="L4" s="9" t="s">
        <v>89</v>
      </c>
      <c r="M4" s="9" t="s">
        <v>90</v>
      </c>
      <c r="N4" s="9" t="s">
        <v>91</v>
      </c>
      <c r="O4" s="9" t="s">
        <v>92</v>
      </c>
      <c r="P4" s="9" t="s">
        <v>93</v>
      </c>
      <c r="Q4" s="9" t="s">
        <v>94</v>
      </c>
      <c r="R4" s="9" t="s">
        <v>95</v>
      </c>
      <c r="S4" s="9" t="s">
        <v>96</v>
      </c>
      <c r="T4" s="9" t="s">
        <v>97</v>
      </c>
    </row>
    <row r="5" ht="13.4">
      <c r="B5" s="1">
        <v>10101</v>
      </c>
      <c r="C5" s="11" t="s">
        <v>98</v>
      </c>
      <c r="D5" s="11" t="s">
        <v>99</v>
      </c>
      <c r="E5" s="11" t="s">
        <v>100</v>
      </c>
      <c r="F5" s="11" t="s">
        <v>101</v>
      </c>
      <c r="G5" s="11">
        <v>0.05</v>
      </c>
      <c r="H5" s="1">
        <v>1</v>
      </c>
      <c r="I5" s="1">
        <v>0</v>
      </c>
      <c r="J5" s="1">
        <v>8</v>
      </c>
      <c r="K5" s="1">
        <v>300</v>
      </c>
      <c r="L5" s="1">
        <v>30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0.1</v>
      </c>
      <c r="T5" s="1">
        <v>1</v>
      </c>
    </row>
    <row r="6" ht="13.4">
      <c r="B6" s="1">
        <v>10102</v>
      </c>
      <c r="C6" s="1" t="s">
        <v>102</v>
      </c>
      <c r="D6" s="11" t="s">
        <v>103</v>
      </c>
      <c r="E6" s="11" t="s">
        <v>104</v>
      </c>
      <c r="F6" s="11" t="s">
        <v>105</v>
      </c>
      <c r="G6" s="11">
        <v>0.06</v>
      </c>
      <c r="H6" s="1">
        <v>0</v>
      </c>
      <c r="I6" s="1">
        <v>0</v>
      </c>
      <c r="J6" s="1">
        <v>9</v>
      </c>
      <c r="K6" s="1">
        <v>288</v>
      </c>
      <c r="L6" s="1">
        <v>32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2</v>
      </c>
    </row>
    <row r="7" ht="13.4">
      <c r="B7" s="1">
        <v>10103</v>
      </c>
      <c r="G7" s="11"/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ht="13.4">
      <c r="B8" s="1">
        <v>10104</v>
      </c>
      <c r="G8" s="11"/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ht="13.4">
      <c r="B9" s="1">
        <v>20101</v>
      </c>
      <c r="C9" s="2" t="s">
        <v>106</v>
      </c>
      <c r="G9" s="11">
        <v>0.05</v>
      </c>
      <c r="H9" s="1">
        <v>1</v>
      </c>
      <c r="I9" s="1">
        <v>0</v>
      </c>
      <c r="J9" s="1">
        <v>8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ht="25.35">
      <c r="B10" s="1">
        <v>100101</v>
      </c>
      <c r="C10" s="2" t="s">
        <v>107</v>
      </c>
      <c r="G10" s="2">
        <v>1</v>
      </c>
      <c r="H10" s="1">
        <v>0</v>
      </c>
      <c r="I10" s="1">
        <v>0</v>
      </c>
      <c r="J10" s="1">
        <v>6</v>
      </c>
      <c r="K10" s="1">
        <v>820</v>
      </c>
      <c r="L10" s="1">
        <v>82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ht="13.4">
      <c r="B11" s="1">
        <v>30101</v>
      </c>
      <c r="C11" s="2" t="s">
        <v>108</v>
      </c>
      <c r="G11" s="2">
        <v>0.3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ht="13.4">
      <c r="B12" s="1">
        <v>40101</v>
      </c>
      <c r="C12" s="2" t="s">
        <v>109</v>
      </c>
      <c r="D12" s="11" t="s">
        <v>110</v>
      </c>
      <c r="E12" s="11" t="s">
        <v>111</v>
      </c>
      <c r="F12" s="11" t="s">
        <v>112</v>
      </c>
      <c r="G12" s="2">
        <v>0.04</v>
      </c>
      <c r="H12" s="1">
        <v>1</v>
      </c>
      <c r="I12" s="1">
        <v>0</v>
      </c>
      <c r="J12" s="1">
        <v>10</v>
      </c>
      <c r="K12" s="1">
        <v>360</v>
      </c>
      <c r="L12" s="1">
        <v>36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0.1</v>
      </c>
      <c r="T12" s="1">
        <v>1</v>
      </c>
    </row>
    <row r="13" ht="13.4">
      <c r="B13" s="1">
        <v>40102</v>
      </c>
      <c r="C13" s="2" t="s">
        <v>113</v>
      </c>
      <c r="D13" s="11" t="s">
        <v>114</v>
      </c>
      <c r="E13" s="11" t="s">
        <v>115</v>
      </c>
      <c r="F13" s="11" t="s">
        <v>116</v>
      </c>
      <c r="G13" s="2">
        <v>0.06</v>
      </c>
      <c r="H13" s="1">
        <v>0</v>
      </c>
      <c r="I13" s="1">
        <v>0</v>
      </c>
      <c r="J13" s="1">
        <v>10</v>
      </c>
      <c r="K13" s="1">
        <v>320</v>
      </c>
      <c r="L13" s="1">
        <v>32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0.1</v>
      </c>
      <c r="T13" s="1">
        <v>2</v>
      </c>
    </row>
    <row r="14">
      <c r="A14" s="1" t="s">
        <v>60</v>
      </c>
      <c r="B14" s="1">
        <v>50101</v>
      </c>
      <c r="C14" s="2" t="s">
        <v>117</v>
      </c>
      <c r="D14" s="2" t="s">
        <v>60</v>
      </c>
      <c r="E14" s="2" t="s">
        <v>60</v>
      </c>
      <c r="F14" s="2" t="s">
        <v>60</v>
      </c>
      <c r="G14" s="2">
        <v>3</v>
      </c>
      <c r="H14" s="1">
        <v>0</v>
      </c>
      <c r="I14" s="1">
        <v>0</v>
      </c>
      <c r="J14" s="1">
        <v>0</v>
      </c>
      <c r="K14" s="1">
        <v>1050</v>
      </c>
      <c r="L14" s="1">
        <v>105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0">
        <v>0</v>
      </c>
      <c r="T14" s="1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min="1" max="1" width="10.66" customWidth="1" style="1"/>
    <col min="2" max="2" width="11.12" customWidth="1" style="1"/>
    <col min="3" max="3" width="30.7" customWidth="1" style="1"/>
    <col min="4" max="4" width="42.62" customWidth="1" style="1"/>
    <col min="5" max="6" width="35.17" customWidth="1" style="1"/>
    <col min="7" max="7" width="49" customWidth="1" style="1"/>
    <col min="8" max="8" width="25.17" customWidth="1" style="1"/>
    <col min="9" max="9" width="61.22" customWidth="1" style="1"/>
  </cols>
  <sheetData>
    <row r="1" ht="15">
      <c r="A1" s="14" t="s">
        <v>0</v>
      </c>
      <c r="B1" s="14" t="s">
        <v>1</v>
      </c>
      <c r="C1" s="14" t="s">
        <v>118</v>
      </c>
      <c r="D1" s="14" t="s">
        <v>2</v>
      </c>
      <c r="E1" s="14" t="s">
        <v>119</v>
      </c>
      <c r="F1" s="14" t="s">
        <v>120</v>
      </c>
      <c r="G1" s="14" t="s">
        <v>121</v>
      </c>
      <c r="H1" s="14" t="s">
        <v>122</v>
      </c>
      <c r="I1" s="14" t="s">
        <v>123</v>
      </c>
    </row>
    <row r="2" ht="15">
      <c r="A2" s="14" t="s">
        <v>20</v>
      </c>
      <c r="B2" s="14" t="s">
        <v>21</v>
      </c>
      <c r="C2" s="14" t="s">
        <v>21</v>
      </c>
      <c r="D2" s="14" t="s">
        <v>22</v>
      </c>
      <c r="E2" s="14" t="s">
        <v>21</v>
      </c>
      <c r="F2" s="14" t="s">
        <v>21</v>
      </c>
      <c r="G2" s="14" t="s">
        <v>21</v>
      </c>
      <c r="H2" s="14" t="s">
        <v>124</v>
      </c>
      <c r="I2" s="14" t="s">
        <v>124</v>
      </c>
    </row>
    <row r="3" ht="15">
      <c r="A3" s="14" t="s">
        <v>24</v>
      </c>
      <c r="B3" s="14"/>
      <c r="C3" s="14"/>
      <c r="D3" s="14" t="s">
        <v>25</v>
      </c>
      <c r="E3" s="14"/>
      <c r="F3" s="14"/>
      <c r="G3" s="14"/>
      <c r="H3" s="14"/>
      <c r="I3" s="14"/>
    </row>
    <row r="4" ht="16.4">
      <c r="A4" s="14" t="s">
        <v>26</v>
      </c>
      <c r="B4" s="14" t="s">
        <v>125</v>
      </c>
      <c r="C4" s="14" t="s">
        <v>126</v>
      </c>
      <c r="D4" s="14" t="s">
        <v>127</v>
      </c>
      <c r="E4" s="14" t="s">
        <v>128</v>
      </c>
      <c r="F4" s="14" t="s">
        <v>129</v>
      </c>
      <c r="G4" s="14" t="s">
        <v>130</v>
      </c>
      <c r="H4" s="14" t="s">
        <v>131</v>
      </c>
      <c r="I4" s="14" t="s">
        <v>132</v>
      </c>
    </row>
    <row r="5" ht="15">
      <c r="A5" s="15"/>
      <c r="B5" s="15">
        <v>101</v>
      </c>
      <c r="C5" s="15">
        <v>1</v>
      </c>
      <c r="D5" s="15" t="s">
        <v>133</v>
      </c>
      <c r="E5" s="15">
        <v>8</v>
      </c>
      <c r="F5" s="15">
        <v>0</v>
      </c>
      <c r="G5" s="15">
        <v>3</v>
      </c>
      <c r="H5" s="15" t="b">
        <f>TRUE()</f>
        <v>1</v>
      </c>
      <c r="I5" s="15" t="b">
        <f>FALSE()</f>
        <v>0</v>
      </c>
    </row>
    <row r="6" ht="15">
      <c r="A6" s="15"/>
      <c r="B6" s="15">
        <v>102</v>
      </c>
      <c r="C6" s="15">
        <v>1</v>
      </c>
      <c r="D6" s="15" t="s">
        <v>134</v>
      </c>
      <c r="E6" s="15">
        <v>4</v>
      </c>
      <c r="F6" s="15">
        <v>0</v>
      </c>
      <c r="G6" s="15">
        <v>1</v>
      </c>
      <c r="H6" s="15" t="b">
        <f>TRUE()</f>
        <v>1</v>
      </c>
      <c r="I6" s="15" t="b">
        <f>TRUE()</f>
        <v>1</v>
      </c>
    </row>
    <row r="7" ht="15">
      <c r="A7" s="15"/>
      <c r="B7" s="15">
        <v>201</v>
      </c>
      <c r="C7" s="15">
        <v>2</v>
      </c>
      <c r="D7" s="15" t="s">
        <v>135</v>
      </c>
      <c r="E7" s="15">
        <v>8</v>
      </c>
      <c r="F7" s="15">
        <v>32</v>
      </c>
      <c r="G7" s="15">
        <v>3</v>
      </c>
      <c r="H7" s="15" t="b">
        <f>TRUE()</f>
        <v>1</v>
      </c>
      <c r="I7" s="15" t="b">
        <f>FALSE()</f>
        <v>0</v>
      </c>
    </row>
    <row r="8" ht="15">
      <c r="A8" s="15"/>
      <c r="B8" s="15">
        <v>202</v>
      </c>
      <c r="C8" s="15">
        <v>2</v>
      </c>
      <c r="D8" s="15" t="s">
        <v>136</v>
      </c>
      <c r="E8" s="15">
        <v>40</v>
      </c>
      <c r="F8" s="15">
        <v>0</v>
      </c>
      <c r="G8" s="15">
        <v>3</v>
      </c>
      <c r="H8" s="15" t="b">
        <f>FALSE()</f>
        <v>0</v>
      </c>
      <c r="I8" s="15" t="b">
        <f>TRUE()</f>
        <v>1</v>
      </c>
    </row>
    <row r="9" ht="15">
      <c r="A9" s="15"/>
      <c r="B9" s="15">
        <v>203</v>
      </c>
      <c r="C9" s="15">
        <v>2</v>
      </c>
      <c r="D9" s="15" t="s">
        <v>137</v>
      </c>
      <c r="E9" s="15">
        <v>4</v>
      </c>
      <c r="F9" s="15">
        <v>0</v>
      </c>
      <c r="G9" s="15">
        <v>1</v>
      </c>
      <c r="H9" s="15" t="b">
        <f>FALSE()</f>
        <v>0</v>
      </c>
      <c r="I9" s="15" t="b">
        <f>TRUE()</f>
        <v>1</v>
      </c>
    </row>
    <row r="10" ht="15">
      <c r="A10" s="15"/>
      <c r="B10" s="15">
        <v>204</v>
      </c>
      <c r="C10" s="15">
        <v>2</v>
      </c>
      <c r="D10" s="15" t="s">
        <v>138</v>
      </c>
      <c r="E10" s="15">
        <v>48</v>
      </c>
      <c r="F10" s="15">
        <v>0</v>
      </c>
      <c r="G10" s="15">
        <v>3</v>
      </c>
      <c r="H10" s="15" t="b">
        <f>FALSE()</f>
        <v>0</v>
      </c>
      <c r="I10" s="15" t="b">
        <f>TRUE()</f>
        <v>1</v>
      </c>
    </row>
    <row r="11">
      <c r="A11" s="1" t="s">
        <v>60</v>
      </c>
      <c r="B11" s="1">
        <v>301</v>
      </c>
      <c r="C11" s="1">
        <v>3</v>
      </c>
      <c r="D11" s="1" t="s">
        <v>139</v>
      </c>
      <c r="E11" s="1">
        <v>4</v>
      </c>
      <c r="F11" s="1">
        <v>8</v>
      </c>
      <c r="G11" s="1">
        <v>1</v>
      </c>
      <c r="H11" s="1" t="b">
        <v>0</v>
      </c>
      <c r="I11" s="1" t="b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6796875" defaultRowHeight="15" customHeight="false" zeroHeight="false" outlineLevelRow="0" outlineLevelCol="0"/>
  <cols>
    <col min="1" max="1" width="19.38" customWidth="1" style="1"/>
    <col min="2" max="2" width="64.46" customWidth="1" style="1"/>
    <col min="3" max="3" width="110.66" customWidth="1" style="1"/>
  </cols>
  <sheetData>
    <row r="1" ht="15">
      <c r="A1" s="14" t="s">
        <v>140</v>
      </c>
      <c r="B1" s="14" t="s">
        <v>141</v>
      </c>
      <c r="C1" s="14" t="s">
        <v>142</v>
      </c>
    </row>
    <row r="2" ht="16.4">
      <c r="A2" s="15" t="s">
        <v>143</v>
      </c>
      <c r="B2" s="15" t="s">
        <v>144</v>
      </c>
      <c r="C2" s="15" t="s">
        <v>145</v>
      </c>
    </row>
    <row r="3" ht="16.4">
      <c r="A3" s="15" t="s">
        <v>146</v>
      </c>
      <c r="B3" s="15">
        <v>1</v>
      </c>
      <c r="C3" s="15" t="s">
        <v>147</v>
      </c>
    </row>
    <row r="4" ht="16.4">
      <c r="A4" s="15" t="s">
        <v>148</v>
      </c>
      <c r="B4" s="15">
        <v>2</v>
      </c>
      <c r="C4" s="15" t="s">
        <v>149</v>
      </c>
    </row>
    <row r="5" ht="16.4">
      <c r="A5" s="15" t="s">
        <v>150</v>
      </c>
      <c r="B5" s="15">
        <v>4</v>
      </c>
      <c r="C5" s="15" t="s">
        <v>151</v>
      </c>
    </row>
    <row r="6" ht="15">
      <c r="A6" s="15" t="s">
        <v>152</v>
      </c>
      <c r="B6" s="15">
        <v>8</v>
      </c>
      <c r="C6" s="15" t="s">
        <v>153</v>
      </c>
    </row>
    <row r="7" ht="15">
      <c r="A7" s="15" t="s">
        <v>154</v>
      </c>
      <c r="B7" s="15">
        <v>16</v>
      </c>
      <c r="C7" s="15" t="s">
        <v>155</v>
      </c>
    </row>
    <row r="8" ht="16.4">
      <c r="A8" s="15" t="s">
        <v>156</v>
      </c>
      <c r="B8" s="15">
        <v>32</v>
      </c>
      <c r="C8" s="15" t="s">
        <v>157</v>
      </c>
    </row>
    <row r="9" ht="16.4">
      <c r="A9" s="15" t="s">
        <v>158</v>
      </c>
      <c r="B9" s="15" t="s">
        <v>159</v>
      </c>
      <c r="C9" s="15" t="s">
        <v>160</v>
      </c>
    </row>
    <row r="10" ht="16.4">
      <c r="A10" s="15" t="s">
        <v>161</v>
      </c>
      <c r="B10" s="15" t="s">
        <v>162</v>
      </c>
      <c r="C10" s="15" t="s">
        <v>163</v>
      </c>
    </row>
    <row r="11" ht="16.4">
      <c r="A11" s="15" t="s">
        <v>164</v>
      </c>
      <c r="B11" s="15" t="s">
        <v>165</v>
      </c>
      <c r="C11" s="15" t="s">
        <v>166</v>
      </c>
    </row>
    <row r="12" ht="16.4">
      <c r="A12" s="15" t="s">
        <v>167</v>
      </c>
      <c r="B12" s="15" t="s">
        <v>168</v>
      </c>
      <c r="C12" s="15" t="s">
        <v>169</v>
      </c>
    </row>
    <row r="13" ht="16.4">
      <c r="A13" s="15" t="s">
        <v>170</v>
      </c>
      <c r="B13" s="15" t="s">
        <v>171</v>
      </c>
      <c r="C13" s="15" t="s">
        <v>172</v>
      </c>
    </row>
    <row r="14" ht="16.4">
      <c r="A14" s="15" t="s">
        <v>173</v>
      </c>
      <c r="B14" s="15" t="s">
        <v>174</v>
      </c>
      <c r="C14" s="15" t="s">
        <v>175</v>
      </c>
    </row>
    <row r="15" ht="16.4">
      <c r="A15" s="15" t="s">
        <v>176</v>
      </c>
      <c r="B15" s="15" t="s">
        <v>177</v>
      </c>
      <c r="C15" s="15" t="s">
        <v>178</v>
      </c>
    </row>
    <row r="16" ht="16.4">
      <c r="A16" s="15" t="s">
        <v>67</v>
      </c>
      <c r="B16" s="15" t="s">
        <v>179</v>
      </c>
      <c r="C16" s="15" t="s">
        <v>180</v>
      </c>
    </row>
    <row r="17" ht="15">
      <c r="A17" s="15" t="s">
        <v>181</v>
      </c>
      <c r="B17" s="15" t="s">
        <v>182</v>
      </c>
      <c r="C17" s="15" t="s">
        <v>183</v>
      </c>
    </row>
    <row r="18" ht="16.4">
      <c r="A18" s="15" t="s">
        <v>184</v>
      </c>
      <c r="B18" s="15" t="s">
        <v>185</v>
      </c>
      <c r="C18" s="15" t="s">
        <v>186</v>
      </c>
    </row>
    <row r="19" ht="16.4">
      <c r="A19" s="15" t="s">
        <v>187</v>
      </c>
      <c r="B19" s="15" t="s">
        <v>188</v>
      </c>
      <c r="C19" s="15" t="s">
        <v>189</v>
      </c>
    </row>
    <row r="20" ht="16.4">
      <c r="A20" s="15" t="s">
        <v>190</v>
      </c>
      <c r="B20" s="15" t="s">
        <v>191</v>
      </c>
      <c r="C20" s="15" t="s">
        <v>192</v>
      </c>
    </row>
    <row r="21" ht="16.4">
      <c r="A21" s="15" t="s">
        <v>193</v>
      </c>
      <c r="B21" s="15" t="s">
        <v>194</v>
      </c>
      <c r="C21" s="15" t="s">
        <v>195</v>
      </c>
    </row>
    <row r="22" ht="16.4">
      <c r="A22" s="15" t="s">
        <v>196</v>
      </c>
      <c r="B22" s="15" t="s">
        <v>197</v>
      </c>
      <c r="C22" s="15" t="s">
        <v>198</v>
      </c>
    </row>
    <row r="23" ht="16.4">
      <c r="A23" s="15" t="s">
        <v>199</v>
      </c>
      <c r="B23" s="15" t="s">
        <v>200</v>
      </c>
      <c r="C23" s="15" t="s">
        <v>201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476</TotalTime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cp:keywords>EPPlus noncommercial use</cp:keywords>
  <dc:language>zh-CN</dc:language>
  <cp:lastModifiedBy/>
  <dcterms:modified xsi:type="dcterms:W3CDTF">2026-10-18T23:26:05Z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